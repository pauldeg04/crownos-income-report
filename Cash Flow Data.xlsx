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amba Branch" sheetId="1" r:id="rId5"/>
    <sheet state="visible" name="Binan Branch" sheetId="2" r:id="rId6"/>
  </sheets>
  <definedNames/>
  <calcPr/>
</workbook>
</file>

<file path=xl/sharedStrings.xml><?xml version="1.0" encoding="utf-8"?>
<sst xmlns="http://schemas.openxmlformats.org/spreadsheetml/2006/main" count="171" uniqueCount="117">
  <si>
    <t>Calamba</t>
  </si>
  <si>
    <t>Binan</t>
  </si>
  <si>
    <t>SUMMARY</t>
  </si>
  <si>
    <t>DATE</t>
  </si>
  <si>
    <t>ACTIVITY</t>
  </si>
  <si>
    <t>CASH</t>
  </si>
  <si>
    <t>GCASH</t>
  </si>
  <si>
    <t>BDO</t>
  </si>
  <si>
    <t>REMARKS</t>
  </si>
  <si>
    <t>RCBC</t>
  </si>
  <si>
    <t>Gcash and Bank transfer Daily Summary</t>
  </si>
  <si>
    <t>Transfer BDO to Gcash (+tf)</t>
  </si>
  <si>
    <t>Gcash Daily Summary</t>
  </si>
  <si>
    <t>Transfer from GCash to Other Gcash</t>
  </si>
  <si>
    <t>Business permit requirements co sir Bryan</t>
  </si>
  <si>
    <t>Gcash and Bank Transfer Daily Summary</t>
  </si>
  <si>
    <t>Cash Remittance (July 1 to July 2)</t>
  </si>
  <si>
    <t>Cask Remittance (July 1 to July 2)</t>
  </si>
  <si>
    <t>Rice Incentive</t>
  </si>
  <si>
    <t>Napasobra ang send sa Gcash, nirefund thru cash</t>
  </si>
  <si>
    <t>3500 for calamba 1000 for binan</t>
  </si>
  <si>
    <t>Binan gcash to Calamba Gcash</t>
  </si>
  <si>
    <t>Binan Share</t>
  </si>
  <si>
    <t>Gcash Payment to Tiktok</t>
  </si>
  <si>
    <t>Tiktok Advert</t>
  </si>
  <si>
    <t>Cask Remittance (July 3-5)</t>
  </si>
  <si>
    <t>Gcash payment to Globe Home Fiber</t>
  </si>
  <si>
    <t>Cash income deposit to BDO</t>
  </si>
  <si>
    <t>Gcash Transfer to Gotyme</t>
  </si>
  <si>
    <t>Staff Salary</t>
  </si>
  <si>
    <t>Transfer Bdo to Paul Gotyme</t>
  </si>
  <si>
    <t>Staff Salary (Varius)</t>
  </si>
  <si>
    <t>Transfer BDO to Another BDO</t>
  </si>
  <si>
    <t>Staff Salary (Ate Lota)</t>
  </si>
  <si>
    <t>Sampayan</t>
  </si>
  <si>
    <t>Transfer BDO to Another's Gotyme</t>
  </si>
  <si>
    <t>Transfer gcash to gcash</t>
  </si>
  <si>
    <t>Staff salary (Ms CJ)</t>
  </si>
  <si>
    <t>Aircon Cleaning</t>
  </si>
  <si>
    <t>Staff's Perks (ZSP)</t>
  </si>
  <si>
    <t>Gcash Transfer</t>
  </si>
  <si>
    <t>Terminal Transaction</t>
  </si>
  <si>
    <t>GL Gas</t>
  </si>
  <si>
    <t>Trainee Salary</t>
  </si>
  <si>
    <t>Recieved Bdo to BDO</t>
  </si>
  <si>
    <t>Gcash Transfer to Staff</t>
  </si>
  <si>
    <t>Sampayan Binan Share</t>
  </si>
  <si>
    <t>Gcash Transaction</t>
  </si>
  <si>
    <t>Ms CJ Salary</t>
  </si>
  <si>
    <t>Waterbill + TF</t>
  </si>
  <si>
    <t>Received Gcash to Gcash</t>
  </si>
  <si>
    <t>Gcash transfer Daily Summary</t>
  </si>
  <si>
    <t>From Water bill Binan Share</t>
  </si>
  <si>
    <t>Cash Remittance (July 3 to July 6)</t>
  </si>
  <si>
    <t>Cash Remittance (July 6 to July 7)</t>
  </si>
  <si>
    <t>Gcash transaction</t>
  </si>
  <si>
    <t>Card Printer Ribbon</t>
  </si>
  <si>
    <t>Tiktok boosting</t>
  </si>
  <si>
    <t>Staff salary</t>
  </si>
  <si>
    <t>Transfer BDO to BDO</t>
  </si>
  <si>
    <t>Samapayan</t>
  </si>
  <si>
    <t>Transfer Gcash to Gcash</t>
  </si>
  <si>
    <t>Waterbill Binan Share</t>
  </si>
  <si>
    <t>Transfer BDO to other's Gotyme</t>
  </si>
  <si>
    <t>Cash Deposit (July 3 to July 6)</t>
  </si>
  <si>
    <t>RC Wall Dismantle</t>
  </si>
  <si>
    <t>Staff (Admin) Salary</t>
  </si>
  <si>
    <t>Staff Salary (Binan Share)</t>
  </si>
  <si>
    <t>Gcash transfer to Another</t>
  </si>
  <si>
    <t>RC Wall Dismantle Labor</t>
  </si>
  <si>
    <t>Terminal Remitance</t>
  </si>
  <si>
    <t>Cash Remitance (July 7 to July 14)</t>
  </si>
  <si>
    <t>Cash income deposit to BDO (July 7 to July 14)</t>
  </si>
  <si>
    <t>Card Payment Transaction</t>
  </si>
  <si>
    <t>Water Bill Payment</t>
  </si>
  <si>
    <t>RC Aircon Repair</t>
  </si>
  <si>
    <t>Electric Bill Payment</t>
  </si>
  <si>
    <t>Cash Remittance (July 10 to July 12)</t>
  </si>
  <si>
    <t>Bank Transfer Daily Summary</t>
  </si>
  <si>
    <t>Cash Deposit to BDO</t>
  </si>
  <si>
    <t>Bank Transfer to Credit Card</t>
  </si>
  <si>
    <t>FB Advert</t>
  </si>
  <si>
    <t>Bank transfer to another Account</t>
  </si>
  <si>
    <t>Staff Admin Salary</t>
  </si>
  <si>
    <t>APV Gas</t>
  </si>
  <si>
    <t>BDO Transaction</t>
  </si>
  <si>
    <t>Management Dinner Meeting</t>
  </si>
  <si>
    <t>Gcash Transfer to Another Gcash</t>
  </si>
  <si>
    <t>For Makreting Collaterals</t>
  </si>
  <si>
    <t>Monitor Replace for RC And Marketing PC</t>
  </si>
  <si>
    <t>Cash Remittance (July 13-15)</t>
  </si>
  <si>
    <t>Gcash Online Transaction</t>
  </si>
  <si>
    <t>Youtube</t>
  </si>
  <si>
    <t>Gcash Remit From Binan Gcash</t>
  </si>
  <si>
    <t>Maintenance Supply</t>
  </si>
  <si>
    <t>Double Sided Tape Heavy Duty</t>
  </si>
  <si>
    <t>P1150 for Refund sa Client</t>
  </si>
  <si>
    <t>Gcash Online Paymet</t>
  </si>
  <si>
    <t>Cash Remit (July 15 - 22)</t>
  </si>
  <si>
    <t>Cash Deposit (July 15 - 22)</t>
  </si>
  <si>
    <t>FB Marketing</t>
  </si>
  <si>
    <t>Lalamove Reload</t>
  </si>
  <si>
    <t>Lunch Meeting</t>
  </si>
  <si>
    <t>Remit Maya Terminal to RCBC</t>
  </si>
  <si>
    <t>Accelerate Monthly</t>
  </si>
  <si>
    <t>Calamba share is P3,500 only</t>
  </si>
  <si>
    <t>Transfer from RCBC to BDO</t>
  </si>
  <si>
    <t>Transfer from BDO to Another Bank</t>
  </si>
  <si>
    <t>Monthly Rent</t>
  </si>
  <si>
    <t>Gcash transfer to another Bank</t>
  </si>
  <si>
    <t>Gcash Payment</t>
  </si>
  <si>
    <t>Co-working</t>
  </si>
  <si>
    <t>Bills Payment</t>
  </si>
  <si>
    <t>Converge</t>
  </si>
  <si>
    <t>Bank transfer Daily Summary</t>
  </si>
  <si>
    <t>Gcash transfer to another</t>
  </si>
  <si>
    <t>Trainee Fee (Sir Dom)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</si>
</sst>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₱]#,##0.00"/>
    <numFmt numFmtId="165" formatCode="d&quot;-&quot;mmm"/>
  </numFmts>
  <fonts count="5">
    <font>
      <sz val="10.0"/>
      <color rgb="FF000000"/>
      <name val="Arial"/>
      <scheme val="minor"/>
    </font>
    <font>
      <color theme="1"/>
      <name val="Arial"/>
    </font>
    <font>
      <b/>
      <i/>
      <color theme="1"/>
      <name val="Arial"/>
    </font>
    <font>
      <b/>
      <color theme="1"/>
      <name val="Arial"/>
    </font>
    <font/>
  </fonts>
  <fills count="5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right"/>
    </xf>
    <xf borderId="0" fillId="0" fontId="2" numFmtId="0" xfId="0" applyAlignment="1" applyFont="1">
      <alignment horizontal="right" vertical="bottom"/>
    </xf>
    <xf borderId="0" fillId="0" fontId="2" numFmtId="164" xfId="0" applyAlignment="1" applyFont="1" applyNumberFormat="1">
      <alignment horizontal="right" vertical="bottom"/>
    </xf>
    <xf borderId="0" fillId="0" fontId="1" numFmtId="0" xfId="0" applyFont="1"/>
    <xf borderId="1" fillId="0" fontId="3" numFmtId="0" xfId="0" applyAlignment="1" applyBorder="1" applyFont="1">
      <alignment horizontal="center"/>
    </xf>
    <xf borderId="2" fillId="0" fontId="3" numFmtId="0" xfId="0" applyAlignment="1" applyBorder="1" applyFont="1">
      <alignment horizontal="center"/>
    </xf>
    <xf borderId="1" fillId="0" fontId="3" numFmtId="0" xfId="0" applyAlignment="1" applyBorder="1" applyFont="1">
      <alignment horizontal="center" shrinkToFit="0" wrapText="1"/>
    </xf>
    <xf borderId="3" fillId="0" fontId="4" numFmtId="0" xfId="0" applyBorder="1" applyFont="1"/>
    <xf borderId="2" fillId="0" fontId="2" numFmtId="164" xfId="0" applyAlignment="1" applyBorder="1" applyFont="1" applyNumberFormat="1">
      <alignment horizontal="right" vertical="bottom"/>
    </xf>
    <xf borderId="2" fillId="0" fontId="2" numFmtId="164" xfId="0" applyAlignment="1" applyBorder="1" applyFont="1" applyNumberFormat="1">
      <alignment horizontal="right"/>
    </xf>
    <xf borderId="2" fillId="2" fontId="2" numFmtId="164" xfId="0" applyAlignment="1" applyBorder="1" applyFill="1" applyFont="1" applyNumberFormat="1">
      <alignment horizontal="right" vertical="bottom"/>
    </xf>
    <xf borderId="2" fillId="3" fontId="2" numFmtId="164" xfId="0" applyAlignment="1" applyBorder="1" applyFill="1" applyFont="1" applyNumberFormat="1">
      <alignment horizontal="right"/>
    </xf>
    <xf borderId="0" fillId="0" fontId="1" numFmtId="165" xfId="0" applyAlignment="1" applyFont="1" applyNumberFormat="1">
      <alignment vertical="bottom"/>
    </xf>
    <xf borderId="2" fillId="0" fontId="1" numFmtId="165" xfId="0" applyAlignment="1" applyBorder="1" applyFont="1" applyNumberFormat="1">
      <alignment horizontal="right" vertical="bottom"/>
    </xf>
    <xf borderId="2" fillId="0" fontId="1" numFmtId="0" xfId="0" applyAlignment="1" applyBorder="1" applyFont="1">
      <alignment shrinkToFit="0" vertical="bottom" wrapText="1"/>
    </xf>
    <xf borderId="2" fillId="0" fontId="1" numFmtId="164" xfId="0" applyAlignment="1" applyBorder="1" applyFont="1" applyNumberFormat="1">
      <alignment horizontal="right" vertical="bottom"/>
    </xf>
    <xf borderId="2" fillId="2" fontId="1" numFmtId="164" xfId="0" applyAlignment="1" applyBorder="1" applyFont="1" applyNumberFormat="1">
      <alignment horizontal="right" vertical="bottom"/>
    </xf>
    <xf borderId="2" fillId="0" fontId="1" numFmtId="0" xfId="0" applyAlignment="1" applyBorder="1" applyFont="1">
      <alignment vertical="bottom"/>
    </xf>
    <xf borderId="2" fillId="4" fontId="1" numFmtId="164" xfId="0" applyAlignment="1" applyBorder="1" applyFill="1" applyFont="1" applyNumberFormat="1">
      <alignment horizontal="right" vertical="bottom"/>
    </xf>
    <xf borderId="2" fillId="3" fontId="1" numFmtId="164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.5"/>
    <col customWidth="1" min="3" max="3" width="36.0"/>
    <col customWidth="1" min="4" max="4" width="10.38"/>
    <col customWidth="1" min="5" max="5" width="10.13"/>
    <col customWidth="1" min="6" max="6" width="10.5"/>
    <col customWidth="1" min="7" max="7" width="27.5"/>
  </cols>
  <sheetData>
    <row r="1">
      <c r="A1" s="1"/>
      <c r="B1" s="1"/>
      <c r="C1" s="1" t="s">
        <v>0</v>
      </c>
      <c r="D1" s="1"/>
      <c r="E1" s="1"/>
      <c r="F1" s="1"/>
      <c r="G1" s="1"/>
      <c r="H1" s="1"/>
    </row>
    <row r="2">
      <c r="A2" s="1"/>
      <c r="B2" s="1"/>
      <c r="C2" s="2" t="s">
        <v>2</v>
      </c>
      <c r="D2" s="4">
        <f>D5+E5+F5</f>
        <v>150117.76</v>
      </c>
      <c r="E2" s="1"/>
      <c r="F2" s="1"/>
      <c r="G2" s="1"/>
      <c r="H2" s="1"/>
    </row>
    <row r="3">
      <c r="A3" s="1"/>
      <c r="B3" s="1"/>
      <c r="C3" s="1"/>
      <c r="D3" s="1"/>
      <c r="E3" s="1"/>
      <c r="F3" s="1"/>
      <c r="G3" s="1"/>
      <c r="H3" s="1"/>
    </row>
    <row r="4">
      <c r="A4" s="5"/>
      <c r="B4" s="6" t="s">
        <v>3</v>
      </c>
      <c r="C4" s="6" t="s">
        <v>4</v>
      </c>
      <c r="D4" s="7" t="s">
        <v>5</v>
      </c>
      <c r="E4" s="7" t="s">
        <v>6</v>
      </c>
      <c r="F4" s="7" t="s">
        <v>7</v>
      </c>
      <c r="G4" s="8" t="s">
        <v>8</v>
      </c>
      <c r="H4" s="1"/>
    </row>
    <row r="5">
      <c r="A5" s="5"/>
      <c r="B5" s="9"/>
      <c r="C5" s="9"/>
      <c r="D5" s="10">
        <f t="shared" ref="D5:F5" si="1">SUM(D6:D66)</f>
        <v>0</v>
      </c>
      <c r="E5" s="12">
        <f t="shared" si="1"/>
        <v>19989.44</v>
      </c>
      <c r="F5" s="12">
        <f t="shared" si="1"/>
        <v>130128.32</v>
      </c>
      <c r="G5" s="9"/>
      <c r="H5" s="1"/>
    </row>
    <row r="6">
      <c r="A6" s="14"/>
      <c r="B6" s="15">
        <v>46204.0</v>
      </c>
      <c r="C6" s="16" t="s">
        <v>10</v>
      </c>
      <c r="D6" s="17">
        <v>0.0</v>
      </c>
      <c r="E6" s="18">
        <v>2800.0</v>
      </c>
      <c r="F6" s="18">
        <v>3650.0</v>
      </c>
      <c r="G6" s="19"/>
      <c r="H6" s="1"/>
    </row>
    <row r="7">
      <c r="A7" s="14"/>
      <c r="B7" s="15">
        <v>46205.0</v>
      </c>
      <c r="C7" s="16" t="s">
        <v>11</v>
      </c>
      <c r="D7" s="17">
        <v>0.0</v>
      </c>
      <c r="E7" s="18">
        <v>1130.0</v>
      </c>
      <c r="F7" s="20">
        <v>-1140.0</v>
      </c>
      <c r="G7" s="19"/>
      <c r="H7" s="1"/>
    </row>
    <row r="8">
      <c r="A8" s="14"/>
      <c r="B8" s="15">
        <v>46205.0</v>
      </c>
      <c r="C8" s="16" t="s">
        <v>13</v>
      </c>
      <c r="D8" s="17">
        <v>0.0</v>
      </c>
      <c r="E8" s="20">
        <v>-3760.0</v>
      </c>
      <c r="F8" s="17">
        <v>0.0</v>
      </c>
      <c r="G8" s="16" t="s">
        <v>14</v>
      </c>
      <c r="H8" s="1"/>
    </row>
    <row r="9">
      <c r="A9" s="14"/>
      <c r="B9" s="15">
        <v>46205.0</v>
      </c>
      <c r="C9" s="16" t="s">
        <v>10</v>
      </c>
      <c r="D9" s="17">
        <v>0.0</v>
      </c>
      <c r="E9" s="18">
        <v>3100.0</v>
      </c>
      <c r="F9" s="18">
        <v>1800.0</v>
      </c>
      <c r="G9" s="19"/>
      <c r="H9" s="1"/>
    </row>
    <row r="10">
      <c r="A10" s="14"/>
      <c r="B10" s="15">
        <v>46206.0</v>
      </c>
      <c r="C10" s="16" t="s">
        <v>10</v>
      </c>
      <c r="D10" s="17">
        <v>0.0</v>
      </c>
      <c r="E10" s="18">
        <f>4500+1680+3700+1800</f>
        <v>11680</v>
      </c>
      <c r="F10" s="18">
        <f>2800+600</f>
        <v>3400</v>
      </c>
      <c r="G10" s="19"/>
      <c r="H10" s="1"/>
    </row>
    <row r="11">
      <c r="A11" s="14"/>
      <c r="B11" s="15">
        <v>46206.0</v>
      </c>
      <c r="C11" s="16" t="s">
        <v>17</v>
      </c>
      <c r="D11" s="18">
        <v>8600.0</v>
      </c>
      <c r="E11" s="17">
        <v>0.0</v>
      </c>
      <c r="F11" s="17">
        <v>0.0</v>
      </c>
      <c r="G11" s="19"/>
      <c r="H11" s="1"/>
    </row>
    <row r="12">
      <c r="A12" s="14"/>
      <c r="B12" s="15">
        <v>46207.0</v>
      </c>
      <c r="C12" s="16" t="s">
        <v>18</v>
      </c>
      <c r="D12" s="17">
        <v>0.0</v>
      </c>
      <c r="E12" s="17">
        <v>0.0</v>
      </c>
      <c r="F12" s="20">
        <v>-4500.0</v>
      </c>
      <c r="G12" s="16" t="s">
        <v>20</v>
      </c>
      <c r="H12" s="1"/>
    </row>
    <row r="13">
      <c r="A13" s="14"/>
      <c r="B13" s="15">
        <v>46207.0</v>
      </c>
      <c r="C13" s="16" t="s">
        <v>10</v>
      </c>
      <c r="D13" s="17">
        <v>0.0</v>
      </c>
      <c r="E13" s="18">
        <f>840+2800+4500+4000+1800</f>
        <v>13940</v>
      </c>
      <c r="F13" s="18">
        <v>600.0</v>
      </c>
      <c r="G13" s="19"/>
      <c r="H13" s="1"/>
    </row>
    <row r="14">
      <c r="A14" s="14"/>
      <c r="B14" s="15">
        <v>46208.0</v>
      </c>
      <c r="C14" s="16" t="s">
        <v>21</v>
      </c>
      <c r="D14" s="17">
        <v>0.0</v>
      </c>
      <c r="E14" s="18">
        <v>1000.0</v>
      </c>
      <c r="F14" s="17">
        <v>0.0</v>
      </c>
      <c r="G14" s="16" t="s">
        <v>22</v>
      </c>
      <c r="H14" s="1"/>
    </row>
    <row r="15">
      <c r="A15" s="14"/>
      <c r="B15" s="15">
        <v>46208.0</v>
      </c>
      <c r="C15" s="16" t="s">
        <v>10</v>
      </c>
      <c r="D15" s="17">
        <v>0.0</v>
      </c>
      <c r="E15" s="18">
        <f>4000+2540</f>
        <v>6540</v>
      </c>
      <c r="F15" s="18">
        <f>2500+4000</f>
        <v>6500</v>
      </c>
      <c r="G15" s="19"/>
      <c r="H15" s="1"/>
    </row>
    <row r="16">
      <c r="A16" s="14"/>
      <c r="B16" s="15">
        <v>46208.0</v>
      </c>
      <c r="C16" s="16" t="s">
        <v>23</v>
      </c>
      <c r="D16" s="17">
        <v>0.0</v>
      </c>
      <c r="E16" s="20">
        <v>-392.0</v>
      </c>
      <c r="F16" s="17">
        <v>0.0</v>
      </c>
      <c r="G16" s="16" t="s">
        <v>24</v>
      </c>
      <c r="H16" s="1"/>
    </row>
    <row r="17">
      <c r="A17" s="14"/>
      <c r="B17" s="15">
        <v>46209.0</v>
      </c>
      <c r="C17" s="16" t="s">
        <v>26</v>
      </c>
      <c r="D17" s="17">
        <v>0.0</v>
      </c>
      <c r="E17" s="20">
        <v>-1499.0</v>
      </c>
      <c r="F17" s="17">
        <v>0.0</v>
      </c>
      <c r="G17" s="19"/>
      <c r="H17" s="1"/>
    </row>
    <row r="18">
      <c r="A18" s="14"/>
      <c r="B18" s="15">
        <v>46209.0</v>
      </c>
      <c r="C18" s="16" t="s">
        <v>27</v>
      </c>
      <c r="D18" s="20">
        <v>-8600.0</v>
      </c>
      <c r="E18" s="17">
        <v>0.0</v>
      </c>
      <c r="F18" s="18">
        <v>8600.0</v>
      </c>
      <c r="G18" s="19"/>
      <c r="H18" s="1"/>
    </row>
    <row r="19">
      <c r="A19" s="14"/>
      <c r="B19" s="15">
        <v>46209.0</v>
      </c>
      <c r="C19" s="16" t="s">
        <v>28</v>
      </c>
      <c r="D19" s="17">
        <v>0.0</v>
      </c>
      <c r="E19" s="20">
        <v>-24383.23</v>
      </c>
      <c r="F19" s="17">
        <v>0.0</v>
      </c>
      <c r="G19" s="16" t="s">
        <v>29</v>
      </c>
      <c r="H19" s="1"/>
    </row>
    <row r="20">
      <c r="A20" s="14"/>
      <c r="B20" s="15">
        <v>46209.0</v>
      </c>
      <c r="C20" s="16" t="s">
        <v>10</v>
      </c>
      <c r="D20" s="17">
        <v>0.0</v>
      </c>
      <c r="E20" s="18">
        <f>4500+2600+350</f>
        <v>7450</v>
      </c>
      <c r="F20" s="18">
        <f>1650+1450</f>
        <v>3100</v>
      </c>
      <c r="G20" s="19"/>
      <c r="H20" s="1"/>
    </row>
    <row r="21">
      <c r="A21" s="14"/>
      <c r="B21" s="15">
        <v>46210.0</v>
      </c>
      <c r="C21" s="16" t="s">
        <v>32</v>
      </c>
      <c r="D21" s="17">
        <v>0.0</v>
      </c>
      <c r="E21" s="17">
        <v>0.0</v>
      </c>
      <c r="F21" s="20">
        <v>-2200.0</v>
      </c>
      <c r="G21" s="16" t="s">
        <v>34</v>
      </c>
      <c r="H21" s="1"/>
    </row>
    <row r="22">
      <c r="A22" s="14"/>
      <c r="B22" s="15">
        <v>46210.0</v>
      </c>
      <c r="C22" s="16" t="s">
        <v>10</v>
      </c>
      <c r="D22" s="17">
        <v>0.0</v>
      </c>
      <c r="E22" s="18">
        <v>500.0</v>
      </c>
      <c r="F22" s="17">
        <v>0.0</v>
      </c>
      <c r="G22" s="19"/>
      <c r="H22" s="1"/>
    </row>
    <row r="23">
      <c r="A23" s="14"/>
      <c r="B23" s="15">
        <v>46211.0</v>
      </c>
      <c r="C23" s="16" t="s">
        <v>36</v>
      </c>
      <c r="D23" s="17">
        <v>0.0</v>
      </c>
      <c r="E23" s="20">
        <v>-3900.0</v>
      </c>
      <c r="F23" s="17">
        <v>0.0</v>
      </c>
      <c r="G23" s="16" t="s">
        <v>38</v>
      </c>
      <c r="H23" s="1"/>
    </row>
    <row r="24">
      <c r="A24" s="14"/>
      <c r="B24" s="15">
        <v>46211.0</v>
      </c>
      <c r="C24" s="16" t="s">
        <v>10</v>
      </c>
      <c r="D24" s="17">
        <v>0.0</v>
      </c>
      <c r="E24" s="18">
        <v>2300.0</v>
      </c>
      <c r="F24" s="17">
        <v>0.0</v>
      </c>
      <c r="G24" s="19"/>
      <c r="H24" s="1"/>
    </row>
    <row r="25">
      <c r="A25" s="14"/>
      <c r="B25" s="15">
        <v>46212.0</v>
      </c>
      <c r="C25" s="16" t="s">
        <v>10</v>
      </c>
      <c r="D25" s="17">
        <v>0.0</v>
      </c>
      <c r="E25" s="18">
        <f>1400+2500</f>
        <v>3900</v>
      </c>
      <c r="F25" s="18">
        <v>1150.0</v>
      </c>
      <c r="G25" s="19"/>
      <c r="H25" s="1"/>
    </row>
    <row r="26">
      <c r="A26" s="14"/>
      <c r="B26" s="15">
        <v>46212.0</v>
      </c>
      <c r="C26" s="16" t="s">
        <v>41</v>
      </c>
      <c r="D26" s="17">
        <v>0.0</v>
      </c>
      <c r="E26" s="17">
        <v>0.0</v>
      </c>
      <c r="F26" s="20">
        <v>-4536.57</v>
      </c>
      <c r="G26" s="16" t="s">
        <v>42</v>
      </c>
      <c r="H26" s="1"/>
    </row>
    <row r="27">
      <c r="A27" s="14"/>
      <c r="B27" s="15">
        <v>46213.0</v>
      </c>
      <c r="C27" s="16" t="s">
        <v>44</v>
      </c>
      <c r="D27" s="17">
        <v>0.0</v>
      </c>
      <c r="E27" s="17">
        <v>0.0</v>
      </c>
      <c r="F27" s="18">
        <v>1100.0</v>
      </c>
      <c r="G27" s="16" t="s">
        <v>46</v>
      </c>
      <c r="H27" s="1"/>
    </row>
    <row r="28">
      <c r="A28" s="14"/>
      <c r="B28" s="15">
        <v>46213.0</v>
      </c>
      <c r="C28" s="16" t="s">
        <v>47</v>
      </c>
      <c r="D28" s="17">
        <v>0.0</v>
      </c>
      <c r="E28" s="20">
        <v>-5063.36</v>
      </c>
      <c r="F28" s="17">
        <v>0.0</v>
      </c>
      <c r="G28" s="16" t="s">
        <v>49</v>
      </c>
      <c r="H28" s="1"/>
    </row>
    <row r="29">
      <c r="A29" s="14"/>
      <c r="B29" s="15">
        <v>46213.0</v>
      </c>
      <c r="C29" s="16" t="s">
        <v>50</v>
      </c>
      <c r="D29" s="17">
        <v>0.0</v>
      </c>
      <c r="E29" s="18">
        <v>2531.68</v>
      </c>
      <c r="F29" s="17">
        <v>0.0</v>
      </c>
      <c r="G29" s="16" t="s">
        <v>52</v>
      </c>
      <c r="H29" s="1"/>
    </row>
    <row r="30">
      <c r="A30" s="14"/>
      <c r="B30" s="15">
        <v>46213.0</v>
      </c>
      <c r="C30" s="16" t="s">
        <v>53</v>
      </c>
      <c r="D30" s="18">
        <v>24350.0</v>
      </c>
      <c r="E30" s="17">
        <v>0.0</v>
      </c>
      <c r="F30" s="17">
        <v>0.0</v>
      </c>
      <c r="G30" s="19"/>
      <c r="H30" s="1"/>
    </row>
    <row r="31">
      <c r="A31" s="14"/>
      <c r="B31" s="15">
        <v>46213.0</v>
      </c>
      <c r="C31" s="16" t="s">
        <v>10</v>
      </c>
      <c r="D31" s="17">
        <v>0.0</v>
      </c>
      <c r="E31" s="18">
        <v>1500.0</v>
      </c>
      <c r="F31" s="18">
        <v>1800.0</v>
      </c>
      <c r="G31" s="19"/>
      <c r="H31" s="1"/>
    </row>
    <row r="32">
      <c r="A32" s="14"/>
      <c r="B32" s="15">
        <v>46214.0</v>
      </c>
      <c r="C32" s="16" t="s">
        <v>10</v>
      </c>
      <c r="D32" s="17">
        <v>0.0</v>
      </c>
      <c r="E32" s="18">
        <f>6500+1800</f>
        <v>8300</v>
      </c>
      <c r="F32" s="17">
        <v>0.0</v>
      </c>
      <c r="G32" s="19"/>
      <c r="H32" s="1"/>
    </row>
    <row r="33">
      <c r="A33" s="14"/>
      <c r="B33" s="15">
        <v>46215.0</v>
      </c>
      <c r="C33" s="16" t="s">
        <v>10</v>
      </c>
      <c r="D33" s="17">
        <v>0.0</v>
      </c>
      <c r="E33" s="18">
        <f>4500</f>
        <v>4500</v>
      </c>
      <c r="F33" s="18">
        <v>4000.0</v>
      </c>
      <c r="G33" s="19"/>
      <c r="H33" s="1"/>
    </row>
    <row r="34">
      <c r="A34" s="14"/>
      <c r="B34" s="15">
        <v>46215.0</v>
      </c>
      <c r="C34" s="16" t="s">
        <v>55</v>
      </c>
      <c r="D34" s="17">
        <v>0.0</v>
      </c>
      <c r="E34" s="20">
        <v>-1008.0</v>
      </c>
      <c r="F34" s="17">
        <v>0.0</v>
      </c>
      <c r="G34" s="16" t="s">
        <v>57</v>
      </c>
      <c r="H34" s="1"/>
    </row>
    <row r="35">
      <c r="A35" s="14"/>
      <c r="B35" s="15">
        <v>46216.0</v>
      </c>
      <c r="C35" s="16" t="s">
        <v>58</v>
      </c>
      <c r="D35" s="17">
        <v>0.0</v>
      </c>
      <c r="E35" s="20">
        <v>-19151.06</v>
      </c>
      <c r="F35" s="17">
        <v>0.0</v>
      </c>
      <c r="G35" s="19"/>
      <c r="H35" s="1"/>
    </row>
    <row r="36">
      <c r="A36" s="14"/>
      <c r="B36" s="15">
        <v>46216.0</v>
      </c>
      <c r="C36" s="16" t="s">
        <v>12</v>
      </c>
      <c r="D36" s="17">
        <v>0.0</v>
      </c>
      <c r="E36" s="18">
        <f>500+1750</f>
        <v>2250</v>
      </c>
      <c r="F36" s="17">
        <v>0.0</v>
      </c>
      <c r="G36" s="19"/>
      <c r="H36" s="1"/>
    </row>
    <row r="37">
      <c r="A37" s="14"/>
      <c r="B37" s="15">
        <v>46217.0</v>
      </c>
      <c r="C37" s="16" t="s">
        <v>12</v>
      </c>
      <c r="D37" s="17">
        <v>0.0</v>
      </c>
      <c r="E37" s="18">
        <f>600+600</f>
        <v>1200</v>
      </c>
      <c r="F37" s="17">
        <v>0.0</v>
      </c>
      <c r="G37" s="19"/>
      <c r="H37" s="1"/>
    </row>
    <row r="38">
      <c r="A38" s="14"/>
      <c r="B38" s="15">
        <v>46217.0</v>
      </c>
      <c r="C38" s="16" t="s">
        <v>64</v>
      </c>
      <c r="D38" s="20">
        <v>-24350.0</v>
      </c>
      <c r="E38" s="17">
        <v>0.0</v>
      </c>
      <c r="F38" s="18">
        <v>24350.0</v>
      </c>
      <c r="G38" s="19"/>
      <c r="H38" s="1"/>
    </row>
    <row r="39">
      <c r="A39" s="14"/>
      <c r="B39" s="15">
        <v>46218.0</v>
      </c>
      <c r="C39" s="16" t="s">
        <v>66</v>
      </c>
      <c r="D39" s="17">
        <v>0.0</v>
      </c>
      <c r="E39" s="17">
        <v>0.0</v>
      </c>
      <c r="F39" s="20">
        <v>-16814.05</v>
      </c>
      <c r="G39" s="19"/>
      <c r="H39" s="1"/>
    </row>
    <row r="40">
      <c r="A40" s="14"/>
      <c r="B40" s="15">
        <v>46218.0</v>
      </c>
      <c r="C40" s="16" t="s">
        <v>67</v>
      </c>
      <c r="D40" s="17">
        <v>0.0</v>
      </c>
      <c r="E40" s="17">
        <v>0.0</v>
      </c>
      <c r="F40" s="18">
        <v>12905.36</v>
      </c>
      <c r="G40" s="19"/>
      <c r="H40" s="1"/>
    </row>
    <row r="41">
      <c r="A41" s="14"/>
      <c r="B41" s="15">
        <v>46218.0</v>
      </c>
      <c r="C41" s="16" t="s">
        <v>12</v>
      </c>
      <c r="D41" s="17">
        <v>0.0</v>
      </c>
      <c r="E41" s="18">
        <f>2700+480+1500+5250</f>
        <v>9930</v>
      </c>
      <c r="F41" s="17">
        <v>0.0</v>
      </c>
      <c r="G41" s="19"/>
      <c r="H41" s="1"/>
    </row>
    <row r="42">
      <c r="A42" s="14"/>
      <c r="B42" s="15">
        <v>46218.0</v>
      </c>
      <c r="C42" s="16" t="s">
        <v>71</v>
      </c>
      <c r="D42" s="18">
        <v>43800.0</v>
      </c>
      <c r="E42" s="17">
        <v>0.0</v>
      </c>
      <c r="F42" s="17">
        <v>0.0</v>
      </c>
      <c r="G42" s="19"/>
      <c r="H42" s="1"/>
    </row>
    <row r="43">
      <c r="A43" s="14"/>
      <c r="B43" s="15">
        <v>46219.0</v>
      </c>
      <c r="C43" s="16" t="s">
        <v>72</v>
      </c>
      <c r="D43" s="20">
        <v>-43800.0</v>
      </c>
      <c r="E43" s="17">
        <v>0.0</v>
      </c>
      <c r="F43" s="18">
        <v>43800.0</v>
      </c>
      <c r="G43" s="19"/>
      <c r="H43" s="1"/>
    </row>
    <row r="44">
      <c r="A44" s="14"/>
      <c r="B44" s="15">
        <v>46219.0</v>
      </c>
      <c r="C44" s="16" t="s">
        <v>73</v>
      </c>
      <c r="D44" s="17">
        <v>0.0</v>
      </c>
      <c r="E44" s="17">
        <v>0.0</v>
      </c>
      <c r="F44" s="20">
        <v>-4730.78</v>
      </c>
      <c r="G44" s="16" t="s">
        <v>42</v>
      </c>
      <c r="H44" s="1"/>
    </row>
    <row r="45">
      <c r="A45" s="14"/>
      <c r="B45" s="15">
        <v>46219.0</v>
      </c>
      <c r="C45" s="16" t="s">
        <v>74</v>
      </c>
      <c r="D45" s="17">
        <v>0.0</v>
      </c>
      <c r="E45" s="20">
        <v>-638.91</v>
      </c>
      <c r="F45" s="17">
        <v>0.0</v>
      </c>
      <c r="G45" s="19"/>
      <c r="H45" s="1"/>
    </row>
    <row r="46">
      <c r="A46" s="14"/>
      <c r="B46" s="15">
        <v>46219.0</v>
      </c>
      <c r="C46" s="16" t="s">
        <v>76</v>
      </c>
      <c r="D46" s="17">
        <v>0.0</v>
      </c>
      <c r="E46" s="20">
        <v>-19630.77</v>
      </c>
      <c r="F46" s="17">
        <v>0.0</v>
      </c>
      <c r="G46" s="19"/>
      <c r="H46" s="1"/>
    </row>
    <row r="47">
      <c r="A47" s="14"/>
      <c r="B47" s="15">
        <v>46219.0</v>
      </c>
      <c r="C47" s="16" t="s">
        <v>15</v>
      </c>
      <c r="D47" s="17">
        <v>0.0</v>
      </c>
      <c r="E47" s="18">
        <v>2600.0</v>
      </c>
      <c r="F47" s="18">
        <f>4000+6200</f>
        <v>10200</v>
      </c>
      <c r="G47" s="19"/>
      <c r="H47" s="1"/>
    </row>
    <row r="48">
      <c r="A48" s="14"/>
      <c r="B48" s="15">
        <v>46220.0</v>
      </c>
      <c r="C48" s="16" t="s">
        <v>78</v>
      </c>
      <c r="D48" s="17">
        <v>0.0</v>
      </c>
      <c r="E48" s="17">
        <v>0.0</v>
      </c>
      <c r="F48" s="18">
        <v>1000.0</v>
      </c>
      <c r="G48" s="19"/>
      <c r="H48" s="1"/>
    </row>
    <row r="49">
      <c r="A49" s="14"/>
      <c r="B49" s="15">
        <v>46220.0</v>
      </c>
      <c r="C49" s="16" t="s">
        <v>80</v>
      </c>
      <c r="D49" s="17">
        <v>0.0</v>
      </c>
      <c r="E49" s="17">
        <v>0.0</v>
      </c>
      <c r="F49" s="20">
        <v>-10000.0</v>
      </c>
      <c r="G49" s="16" t="s">
        <v>81</v>
      </c>
      <c r="H49" s="1"/>
    </row>
    <row r="50">
      <c r="A50" s="14"/>
      <c r="B50" s="15">
        <v>46221.0</v>
      </c>
      <c r="C50" s="16" t="s">
        <v>15</v>
      </c>
      <c r="D50" s="17">
        <v>0.0</v>
      </c>
      <c r="E50" s="18">
        <f>5250+1500+2500+2500+1600+2000</f>
        <v>15350</v>
      </c>
      <c r="F50" s="18">
        <f>2250</f>
        <v>2250</v>
      </c>
      <c r="G50" s="19"/>
      <c r="H50" s="1"/>
    </row>
    <row r="51">
      <c r="A51" s="14"/>
      <c r="B51" s="15">
        <v>46221.0</v>
      </c>
      <c r="C51" s="16" t="s">
        <v>73</v>
      </c>
      <c r="D51" s="17">
        <v>0.0</v>
      </c>
      <c r="E51" s="17">
        <v>0.0</v>
      </c>
      <c r="F51" s="20">
        <v>-2762.64</v>
      </c>
      <c r="G51" s="16" t="s">
        <v>84</v>
      </c>
      <c r="H51" s="1"/>
    </row>
    <row r="52">
      <c r="A52" s="14"/>
      <c r="B52" s="15">
        <v>46221.0</v>
      </c>
      <c r="C52" s="16" t="s">
        <v>81</v>
      </c>
      <c r="D52" s="17">
        <v>0.0</v>
      </c>
      <c r="E52" s="20">
        <v>-5000.0</v>
      </c>
      <c r="F52" s="17">
        <v>0.0</v>
      </c>
      <c r="G52" s="19"/>
      <c r="H52" s="1"/>
    </row>
    <row r="53">
      <c r="A53" s="14"/>
      <c r="B53" s="15">
        <v>46222.0</v>
      </c>
      <c r="C53" s="16" t="s">
        <v>15</v>
      </c>
      <c r="D53" s="17">
        <v>0.0</v>
      </c>
      <c r="E53" s="18">
        <f>1650+150+2700</f>
        <v>4500</v>
      </c>
      <c r="F53" s="18">
        <f>4500+800+2400</f>
        <v>7700</v>
      </c>
      <c r="G53" s="19"/>
      <c r="H53" s="1"/>
    </row>
    <row r="54">
      <c r="A54" s="14"/>
      <c r="B54" s="15">
        <v>46223.0</v>
      </c>
      <c r="C54" s="16" t="s">
        <v>29</v>
      </c>
      <c r="D54" s="17">
        <v>0.0</v>
      </c>
      <c r="E54" s="20">
        <v>-21645.91</v>
      </c>
      <c r="F54" s="17">
        <v>0.0</v>
      </c>
      <c r="G54" s="19"/>
      <c r="H54" s="1"/>
    </row>
    <row r="55">
      <c r="A55" s="14"/>
      <c r="B55" s="15">
        <v>46223.0</v>
      </c>
      <c r="C55" s="16" t="s">
        <v>12</v>
      </c>
      <c r="D55" s="17">
        <v>0.0</v>
      </c>
      <c r="E55" s="18">
        <v>3450.0</v>
      </c>
      <c r="F55" s="17">
        <v>0.0</v>
      </c>
      <c r="G55" s="19"/>
      <c r="H55" s="1"/>
    </row>
    <row r="56">
      <c r="A56" s="14"/>
      <c r="B56" s="15">
        <v>46224.0</v>
      </c>
      <c r="C56" s="16" t="s">
        <v>15</v>
      </c>
      <c r="D56" s="17">
        <v>0.0</v>
      </c>
      <c r="E56" s="18">
        <f>3650+600</f>
        <v>4250</v>
      </c>
      <c r="F56" s="18">
        <v>2250.0</v>
      </c>
      <c r="G56" s="19"/>
      <c r="H56" s="1"/>
    </row>
    <row r="57">
      <c r="A57" s="14"/>
      <c r="B57" s="15">
        <v>46225.0</v>
      </c>
      <c r="C57" s="16" t="s">
        <v>91</v>
      </c>
      <c r="D57" s="17">
        <v>0.0</v>
      </c>
      <c r="E57" s="20">
        <v>-150.0</v>
      </c>
      <c r="F57" s="17">
        <v>0.0</v>
      </c>
      <c r="G57" s="16" t="s">
        <v>92</v>
      </c>
      <c r="H57" s="1"/>
    </row>
    <row r="58">
      <c r="A58" s="14"/>
      <c r="B58" s="15">
        <v>46225.0</v>
      </c>
      <c r="C58" s="16" t="s">
        <v>15</v>
      </c>
      <c r="D58" s="17">
        <v>0.0</v>
      </c>
      <c r="E58" s="18">
        <f>4500+500</f>
        <v>5000</v>
      </c>
      <c r="F58" s="17">
        <v>0.0</v>
      </c>
      <c r="G58" s="19"/>
      <c r="H58" s="1"/>
    </row>
    <row r="59">
      <c r="A59" s="14"/>
      <c r="B59" s="15">
        <v>46225.0</v>
      </c>
      <c r="C59" s="16" t="s">
        <v>94</v>
      </c>
      <c r="D59" s="17">
        <v>0.0</v>
      </c>
      <c r="E59" s="20">
        <v>-840.0</v>
      </c>
      <c r="F59" s="17">
        <v>0.0</v>
      </c>
      <c r="G59" s="16" t="s">
        <v>95</v>
      </c>
      <c r="H59" s="1"/>
    </row>
    <row r="60">
      <c r="A60" s="14"/>
      <c r="B60" s="15">
        <v>46226.0</v>
      </c>
      <c r="C60" s="16" t="s">
        <v>15</v>
      </c>
      <c r="D60" s="17">
        <v>0.0</v>
      </c>
      <c r="E60" s="18">
        <v>350.0</v>
      </c>
      <c r="F60" s="18">
        <v>2800.0</v>
      </c>
      <c r="G60" s="16" t="s">
        <v>96</v>
      </c>
      <c r="H60" s="1"/>
    </row>
    <row r="61">
      <c r="A61" s="14"/>
      <c r="B61" s="15">
        <v>46226.0</v>
      </c>
      <c r="C61" s="16" t="s">
        <v>98</v>
      </c>
      <c r="D61" s="18">
        <v>41650.0</v>
      </c>
      <c r="E61" s="17">
        <v>0.0</v>
      </c>
      <c r="F61" s="17">
        <v>0.0</v>
      </c>
      <c r="G61" s="19"/>
      <c r="H61" s="1"/>
    </row>
    <row r="62">
      <c r="A62" s="14"/>
      <c r="B62" s="15">
        <v>46226.0</v>
      </c>
      <c r="C62" s="16" t="s">
        <v>99</v>
      </c>
      <c r="D62" s="20">
        <v>-41650.0</v>
      </c>
      <c r="E62" s="17">
        <v>0.0</v>
      </c>
      <c r="F62" s="18">
        <v>41650.0</v>
      </c>
      <c r="G62" s="19"/>
      <c r="H62" s="1"/>
    </row>
    <row r="63">
      <c r="A63" s="14"/>
      <c r="B63" s="15">
        <v>46227.0</v>
      </c>
      <c r="C63" s="16" t="s">
        <v>91</v>
      </c>
      <c r="D63" s="17">
        <v>0.0</v>
      </c>
      <c r="E63" s="20">
        <v>-350.0</v>
      </c>
      <c r="F63" s="17">
        <v>0.0</v>
      </c>
      <c r="G63" s="16" t="s">
        <v>101</v>
      </c>
      <c r="H63" s="1"/>
    </row>
    <row r="64">
      <c r="A64" s="14"/>
      <c r="B64" s="15">
        <v>46227.0</v>
      </c>
      <c r="C64" s="16" t="s">
        <v>102</v>
      </c>
      <c r="D64" s="17">
        <v>0.0</v>
      </c>
      <c r="E64" s="17">
        <v>0.0</v>
      </c>
      <c r="F64" s="20">
        <v>-2893.0</v>
      </c>
      <c r="G64" s="19"/>
      <c r="H64" s="1"/>
    </row>
    <row r="65">
      <c r="A65" s="14"/>
      <c r="B65" s="15">
        <v>46227.0</v>
      </c>
      <c r="C65" s="16" t="s">
        <v>104</v>
      </c>
      <c r="D65" s="17">
        <v>0.0</v>
      </c>
      <c r="E65" s="17">
        <v>0.0</v>
      </c>
      <c r="F65" s="20">
        <v>-8500.0</v>
      </c>
      <c r="G65" s="16" t="s">
        <v>105</v>
      </c>
      <c r="H65" s="1"/>
    </row>
    <row r="66">
      <c r="A66" s="14"/>
      <c r="B66" s="15">
        <v>46227.0</v>
      </c>
      <c r="C66" s="16" t="s">
        <v>15</v>
      </c>
      <c r="D66" s="17">
        <v>0.0</v>
      </c>
      <c r="E66" s="18">
        <f>600+1000+3500+1650+600</f>
        <v>7350</v>
      </c>
      <c r="F66" s="18">
        <f>3600</f>
        <v>3600</v>
      </c>
      <c r="G66" s="19"/>
      <c r="H66" s="1"/>
    </row>
    <row r="67">
      <c r="A67" s="1"/>
      <c r="B67" s="1"/>
      <c r="C67" s="1"/>
      <c r="D67" s="1"/>
      <c r="E67" s="1"/>
      <c r="F67" s="1"/>
      <c r="G67" s="1"/>
      <c r="H67" s="1"/>
    </row>
  </sheetData>
  <mergeCells count="3">
    <mergeCell ref="B4:B5"/>
    <mergeCell ref="C4:C5"/>
    <mergeCell ref="G4:G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.5"/>
    <col customWidth="1" min="3" max="3" width="31.63"/>
    <col customWidth="1" min="4" max="7" width="10.13"/>
    <col customWidth="1" min="8" max="8" width="38.25"/>
  </cols>
  <sheetData>
    <row r="1">
      <c r="A1" s="1"/>
      <c r="B1" s="1"/>
      <c r="C1" s="1" t="s">
        <v>1</v>
      </c>
      <c r="D1" s="1"/>
      <c r="E1" s="1"/>
      <c r="F1" s="1"/>
      <c r="G1" s="1"/>
      <c r="H1" s="1"/>
      <c r="I1" s="1"/>
    </row>
    <row r="2">
      <c r="A2" s="1"/>
      <c r="B2" s="1"/>
      <c r="C2" s="3" t="s">
        <v>2</v>
      </c>
      <c r="D2" s="4">
        <f>D5+E5+F5+G5</f>
        <v>23935.78</v>
      </c>
      <c r="E2" s="1"/>
      <c r="F2" s="1"/>
      <c r="G2" s="1"/>
      <c r="H2" s="1"/>
      <c r="I2" s="1"/>
    </row>
    <row r="3">
      <c r="A3" s="1"/>
      <c r="B3" s="1"/>
      <c r="C3" s="1"/>
      <c r="D3" s="1"/>
      <c r="E3" s="1"/>
      <c r="F3" s="1"/>
      <c r="G3" s="1"/>
      <c r="H3" s="1"/>
      <c r="I3" s="1"/>
    </row>
    <row r="4">
      <c r="A4" s="1"/>
      <c r="B4" s="6" t="s">
        <v>3</v>
      </c>
      <c r="C4" s="6" t="s">
        <v>4</v>
      </c>
      <c r="D4" s="7" t="s">
        <v>5</v>
      </c>
      <c r="E4" s="7" t="s">
        <v>6</v>
      </c>
      <c r="F4" s="7" t="s">
        <v>7</v>
      </c>
      <c r="G4" s="7" t="s">
        <v>9</v>
      </c>
      <c r="H4" s="8" t="s">
        <v>8</v>
      </c>
      <c r="I4" s="1"/>
    </row>
    <row r="5">
      <c r="A5" s="1"/>
      <c r="B5" s="9"/>
      <c r="C5" s="9"/>
      <c r="D5" s="11">
        <f t="shared" ref="D5:G5" si="1">SUM(D6:D56)</f>
        <v>0</v>
      </c>
      <c r="E5" s="13">
        <f t="shared" si="1"/>
        <v>6895.86</v>
      </c>
      <c r="F5" s="13">
        <f t="shared" si="1"/>
        <v>11439.92</v>
      </c>
      <c r="G5" s="13">
        <f t="shared" si="1"/>
        <v>5600</v>
      </c>
      <c r="H5" s="9"/>
      <c r="I5" s="1"/>
    </row>
    <row r="6">
      <c r="A6" s="14"/>
      <c r="B6" s="15">
        <v>46205.0</v>
      </c>
      <c r="C6" s="16" t="s">
        <v>12</v>
      </c>
      <c r="D6" s="17">
        <v>0.0</v>
      </c>
      <c r="E6" s="21">
        <v>3600.0</v>
      </c>
      <c r="F6" s="17">
        <v>0.0</v>
      </c>
      <c r="G6" s="17">
        <v>0.0</v>
      </c>
      <c r="H6" s="19"/>
      <c r="I6" s="1"/>
    </row>
    <row r="7">
      <c r="A7" s="14"/>
      <c r="B7" s="15">
        <v>46206.0</v>
      </c>
      <c r="C7" s="16" t="s">
        <v>15</v>
      </c>
      <c r="D7" s="17">
        <v>0.0</v>
      </c>
      <c r="E7" s="21">
        <v>2300.0</v>
      </c>
      <c r="F7" s="17">
        <v>0.0</v>
      </c>
      <c r="G7" s="21">
        <v>4500.0</v>
      </c>
      <c r="H7" s="19"/>
      <c r="I7" s="1"/>
    </row>
    <row r="8">
      <c r="A8" s="14"/>
      <c r="B8" s="15">
        <v>46206.0</v>
      </c>
      <c r="C8" s="16" t="s">
        <v>16</v>
      </c>
      <c r="D8" s="21">
        <v>6600.0</v>
      </c>
      <c r="E8" s="17">
        <v>0.0</v>
      </c>
      <c r="F8" s="17">
        <v>0.0</v>
      </c>
      <c r="G8" s="17">
        <v>0.0</v>
      </c>
      <c r="H8" s="19"/>
      <c r="I8" s="1"/>
    </row>
    <row r="9">
      <c r="A9" s="14"/>
      <c r="B9" s="15">
        <v>46207.0</v>
      </c>
      <c r="C9" s="16" t="s">
        <v>12</v>
      </c>
      <c r="D9" s="20">
        <v>-150.0</v>
      </c>
      <c r="E9" s="21">
        <f>1800+3350</f>
        <v>5150</v>
      </c>
      <c r="F9" s="17">
        <v>0.0</v>
      </c>
      <c r="G9" s="17">
        <v>0.0</v>
      </c>
      <c r="H9" s="19" t="s">
        <v>19</v>
      </c>
      <c r="I9" s="1"/>
    </row>
    <row r="10">
      <c r="A10" s="14"/>
      <c r="B10" s="15">
        <v>46207.0</v>
      </c>
      <c r="C10" s="19" t="s">
        <v>18</v>
      </c>
      <c r="D10" s="17">
        <v>0.0</v>
      </c>
      <c r="E10" s="20">
        <v>-1000.0</v>
      </c>
      <c r="F10" s="17">
        <v>0.0</v>
      </c>
      <c r="G10" s="17">
        <v>0.0</v>
      </c>
      <c r="H10" s="19"/>
      <c r="I10" s="1"/>
    </row>
    <row r="11">
      <c r="A11" s="14"/>
      <c r="B11" s="15">
        <v>46208.0</v>
      </c>
      <c r="C11" s="19" t="s">
        <v>15</v>
      </c>
      <c r="D11" s="17">
        <v>0.0</v>
      </c>
      <c r="E11" s="21">
        <f>500+1200+1000+900+2850</f>
        <v>6450</v>
      </c>
      <c r="F11" s="17">
        <v>0.0</v>
      </c>
      <c r="G11" s="21">
        <f>1650</f>
        <v>1650</v>
      </c>
      <c r="H11" s="19"/>
      <c r="I11" s="1"/>
    </row>
    <row r="12">
      <c r="A12" s="14"/>
      <c r="B12" s="15">
        <v>46209.0</v>
      </c>
      <c r="C12" s="19" t="s">
        <v>25</v>
      </c>
      <c r="D12" s="20">
        <v>-6600.0</v>
      </c>
      <c r="E12" s="17">
        <v>0.0</v>
      </c>
      <c r="F12" s="21">
        <v>18300.0</v>
      </c>
      <c r="G12" s="17">
        <v>0.0</v>
      </c>
      <c r="H12" s="19"/>
      <c r="I12" s="1"/>
    </row>
    <row r="13">
      <c r="A13" s="14"/>
      <c r="B13" s="15">
        <v>46209.0</v>
      </c>
      <c r="C13" s="19" t="s">
        <v>15</v>
      </c>
      <c r="D13" s="17">
        <v>0.0</v>
      </c>
      <c r="E13" s="21">
        <v>1200.0</v>
      </c>
      <c r="F13" s="21">
        <v>2350.0</v>
      </c>
      <c r="G13" s="21">
        <v>2000.0</v>
      </c>
      <c r="H13" s="19"/>
      <c r="I13" s="1"/>
    </row>
    <row r="14">
      <c r="A14" s="14"/>
      <c r="B14" s="15">
        <v>46209.0</v>
      </c>
      <c r="C14" s="19" t="s">
        <v>30</v>
      </c>
      <c r="D14" s="17">
        <v>0.0</v>
      </c>
      <c r="E14" s="17">
        <v>0.0</v>
      </c>
      <c r="F14" s="20">
        <v>-8715.2</v>
      </c>
      <c r="G14" s="17">
        <v>0.0</v>
      </c>
      <c r="H14" s="19" t="s">
        <v>31</v>
      </c>
      <c r="I14" s="1"/>
    </row>
    <row r="15">
      <c r="A15" s="14"/>
      <c r="B15" s="15">
        <v>46209.0</v>
      </c>
      <c r="C15" s="19" t="s">
        <v>32</v>
      </c>
      <c r="D15" s="17">
        <v>0.0</v>
      </c>
      <c r="E15" s="17">
        <v>0.0</v>
      </c>
      <c r="F15" s="20">
        <v>-550.0</v>
      </c>
      <c r="G15" s="17">
        <v>0.0</v>
      </c>
      <c r="H15" s="19" t="s">
        <v>33</v>
      </c>
      <c r="I15" s="1"/>
    </row>
    <row r="16">
      <c r="A16" s="14"/>
      <c r="B16" s="15">
        <v>46209.0</v>
      </c>
      <c r="C16" s="19" t="s">
        <v>35</v>
      </c>
      <c r="D16" s="17">
        <v>0.0</v>
      </c>
      <c r="E16" s="17">
        <v>0.0</v>
      </c>
      <c r="F16" s="20">
        <v>-2140.0</v>
      </c>
      <c r="G16" s="17">
        <v>0.0</v>
      </c>
      <c r="H16" s="19" t="s">
        <v>37</v>
      </c>
      <c r="I16" s="1"/>
    </row>
    <row r="17">
      <c r="A17" s="14"/>
      <c r="B17" s="15">
        <v>46209.0</v>
      </c>
      <c r="C17" s="19" t="s">
        <v>32</v>
      </c>
      <c r="D17" s="17">
        <v>0.0</v>
      </c>
      <c r="E17" s="17">
        <v>0.0</v>
      </c>
      <c r="F17" s="20">
        <v>-3000.0</v>
      </c>
      <c r="G17" s="17">
        <v>0.0</v>
      </c>
      <c r="H17" s="19" t="s">
        <v>39</v>
      </c>
      <c r="I17" s="1"/>
    </row>
    <row r="18">
      <c r="A18" s="14"/>
      <c r="B18" s="15">
        <v>46209.0</v>
      </c>
      <c r="C18" s="19" t="s">
        <v>40</v>
      </c>
      <c r="D18" s="17">
        <v>0.0</v>
      </c>
      <c r="E18" s="20">
        <f>-(1000+1000+500)</f>
        <v>-2500</v>
      </c>
      <c r="F18" s="17">
        <v>0.0</v>
      </c>
      <c r="G18" s="17">
        <v>0.0</v>
      </c>
      <c r="H18" s="19" t="s">
        <v>43</v>
      </c>
      <c r="I18" s="1"/>
    </row>
    <row r="19">
      <c r="A19" s="14"/>
      <c r="B19" s="15">
        <v>46209.0</v>
      </c>
      <c r="C19" s="19" t="s">
        <v>45</v>
      </c>
      <c r="D19" s="17">
        <v>0.0</v>
      </c>
      <c r="E19" s="20">
        <v>-1551.7</v>
      </c>
      <c r="F19" s="17">
        <v>0.0</v>
      </c>
      <c r="G19" s="17">
        <v>0.0</v>
      </c>
      <c r="H19" s="19" t="s">
        <v>48</v>
      </c>
      <c r="I19" s="1"/>
    </row>
    <row r="20">
      <c r="A20" s="14"/>
      <c r="B20" s="15">
        <v>46211.0</v>
      </c>
      <c r="C20" s="19" t="s">
        <v>51</v>
      </c>
      <c r="D20" s="17">
        <v>0.0</v>
      </c>
      <c r="E20" s="21">
        <v>600.0</v>
      </c>
      <c r="F20" s="17">
        <v>0.0</v>
      </c>
      <c r="G20" s="17">
        <v>0.0</v>
      </c>
      <c r="H20" s="19"/>
      <c r="I20" s="1"/>
    </row>
    <row r="21">
      <c r="A21" s="14"/>
      <c r="B21" s="15">
        <v>46212.0</v>
      </c>
      <c r="C21" s="19" t="s">
        <v>15</v>
      </c>
      <c r="D21" s="17">
        <v>0.0</v>
      </c>
      <c r="E21" s="21">
        <f>1200+900</f>
        <v>2100</v>
      </c>
      <c r="F21" s="17">
        <v>0.0</v>
      </c>
      <c r="G21" s="21">
        <v>1150.0</v>
      </c>
      <c r="H21" s="19"/>
      <c r="I21" s="1"/>
    </row>
    <row r="22">
      <c r="A22" s="14"/>
      <c r="B22" s="15">
        <v>46212.0</v>
      </c>
      <c r="C22" s="19" t="s">
        <v>54</v>
      </c>
      <c r="D22" s="21">
        <f>4700+2600</f>
        <v>7300</v>
      </c>
      <c r="E22" s="17">
        <v>0.0</v>
      </c>
      <c r="F22" s="17">
        <v>0.0</v>
      </c>
      <c r="G22" s="17">
        <v>0.0</v>
      </c>
      <c r="H22" s="19"/>
      <c r="I22" s="1"/>
    </row>
    <row r="23">
      <c r="A23" s="14"/>
      <c r="B23" s="15">
        <v>46212.0</v>
      </c>
      <c r="C23" s="19" t="s">
        <v>56</v>
      </c>
      <c r="D23" s="20">
        <v>-5800.0</v>
      </c>
      <c r="E23" s="17">
        <v>0.0</v>
      </c>
      <c r="F23" s="17">
        <v>0.0</v>
      </c>
      <c r="G23" s="17">
        <v>0.0</v>
      </c>
      <c r="H23" s="19"/>
      <c r="I23" s="1"/>
    </row>
    <row r="24">
      <c r="A24" s="14"/>
      <c r="B24" s="15">
        <v>46213.0</v>
      </c>
      <c r="C24" s="19" t="s">
        <v>59</v>
      </c>
      <c r="D24" s="17">
        <v>0.0</v>
      </c>
      <c r="E24" s="17">
        <v>0.0</v>
      </c>
      <c r="F24" s="20">
        <v>-1100.0</v>
      </c>
      <c r="G24" s="17">
        <v>0.0</v>
      </c>
      <c r="H24" s="19" t="s">
        <v>60</v>
      </c>
      <c r="I24" s="1"/>
    </row>
    <row r="25">
      <c r="A25" s="14"/>
      <c r="B25" s="15">
        <v>46213.0</v>
      </c>
      <c r="C25" s="19" t="s">
        <v>61</v>
      </c>
      <c r="D25" s="17">
        <v>0.0</v>
      </c>
      <c r="E25" s="20">
        <v>-2531.68</v>
      </c>
      <c r="F25" s="17">
        <v>0.0</v>
      </c>
      <c r="G25" s="17">
        <v>0.0</v>
      </c>
      <c r="H25" s="19" t="s">
        <v>62</v>
      </c>
      <c r="I25" s="1"/>
    </row>
    <row r="26">
      <c r="A26" s="14"/>
      <c r="B26" s="15">
        <v>46213.0</v>
      </c>
      <c r="C26" s="19" t="s">
        <v>63</v>
      </c>
      <c r="D26" s="17">
        <v>0.0</v>
      </c>
      <c r="E26" s="17">
        <v>0.0</v>
      </c>
      <c r="F26" s="20">
        <v>-2000.0</v>
      </c>
      <c r="G26" s="17">
        <v>0.0</v>
      </c>
      <c r="H26" s="19" t="s">
        <v>65</v>
      </c>
      <c r="I26" s="1"/>
    </row>
    <row r="27">
      <c r="A27" s="14"/>
      <c r="B27" s="15">
        <v>46213.0</v>
      </c>
      <c r="C27" s="19" t="s">
        <v>51</v>
      </c>
      <c r="D27" s="17">
        <v>0.0</v>
      </c>
      <c r="E27" s="21">
        <v>1800.0</v>
      </c>
      <c r="F27" s="17">
        <v>0.0</v>
      </c>
      <c r="G27" s="17">
        <v>0.0</v>
      </c>
      <c r="H27" s="19"/>
      <c r="I27" s="1"/>
    </row>
    <row r="28">
      <c r="A28" s="14"/>
      <c r="B28" s="15">
        <v>46214.0</v>
      </c>
      <c r="C28" s="19" t="s">
        <v>68</v>
      </c>
      <c r="D28" s="17">
        <v>0.0</v>
      </c>
      <c r="E28" s="20">
        <v>-700.0</v>
      </c>
      <c r="F28" s="17">
        <v>0.0</v>
      </c>
      <c r="G28" s="17">
        <v>0.0</v>
      </c>
      <c r="H28" s="19" t="s">
        <v>69</v>
      </c>
      <c r="I28" s="1"/>
    </row>
    <row r="29">
      <c r="A29" s="14"/>
      <c r="B29" s="15">
        <v>46214.0</v>
      </c>
      <c r="C29" s="19" t="s">
        <v>70</v>
      </c>
      <c r="D29" s="17">
        <v>0.0</v>
      </c>
      <c r="E29" s="17">
        <v>0.0</v>
      </c>
      <c r="F29" s="17">
        <v>0.0</v>
      </c>
      <c r="G29" s="21">
        <v>15000.0</v>
      </c>
      <c r="H29" s="19"/>
      <c r="I29" s="1"/>
    </row>
    <row r="30">
      <c r="A30" s="14"/>
      <c r="B30" s="15">
        <v>46215.0</v>
      </c>
      <c r="C30" s="19" t="s">
        <v>51</v>
      </c>
      <c r="D30" s="17">
        <v>0.0</v>
      </c>
      <c r="E30" s="21">
        <v>2500.0</v>
      </c>
      <c r="F30" s="17">
        <v>0.0</v>
      </c>
      <c r="G30" s="17">
        <v>0.0</v>
      </c>
      <c r="H30" s="19"/>
      <c r="I30" s="1"/>
    </row>
    <row r="31">
      <c r="A31" s="14"/>
      <c r="B31" s="15">
        <v>46216.0</v>
      </c>
      <c r="C31" s="19" t="s">
        <v>68</v>
      </c>
      <c r="D31" s="17">
        <v>0.0</v>
      </c>
      <c r="E31" s="20">
        <v>-5500.0</v>
      </c>
      <c r="F31" s="17">
        <v>0.0</v>
      </c>
      <c r="G31" s="17">
        <v>0.0</v>
      </c>
      <c r="H31" s="19" t="s">
        <v>75</v>
      </c>
      <c r="I31" s="1"/>
    </row>
    <row r="32">
      <c r="A32" s="14"/>
      <c r="B32" s="15">
        <v>46216.0</v>
      </c>
      <c r="C32" s="19" t="s">
        <v>29</v>
      </c>
      <c r="D32" s="17">
        <v>0.0</v>
      </c>
      <c r="E32" s="17">
        <v>0.0</v>
      </c>
      <c r="F32" s="17">
        <v>0.0</v>
      </c>
      <c r="G32" s="20">
        <v>-19623.0</v>
      </c>
      <c r="H32" s="19"/>
      <c r="I32" s="1"/>
    </row>
    <row r="33">
      <c r="A33" s="14"/>
      <c r="B33" s="15">
        <v>46216.0</v>
      </c>
      <c r="C33" s="19" t="s">
        <v>77</v>
      </c>
      <c r="D33" s="21">
        <v>16900.0</v>
      </c>
      <c r="E33" s="17">
        <v>0.0</v>
      </c>
      <c r="F33" s="17">
        <v>0.0</v>
      </c>
      <c r="G33" s="17">
        <v>0.0</v>
      </c>
      <c r="H33" s="19"/>
      <c r="I33" s="1"/>
    </row>
    <row r="34">
      <c r="A34" s="14"/>
      <c r="B34" s="15">
        <v>46217.0</v>
      </c>
      <c r="C34" s="19" t="s">
        <v>79</v>
      </c>
      <c r="D34" s="20">
        <v>-18250.0</v>
      </c>
      <c r="E34" s="17">
        <v>0.0</v>
      </c>
      <c r="F34" s="21">
        <v>18250.0</v>
      </c>
      <c r="G34" s="17">
        <v>0.0</v>
      </c>
      <c r="H34" s="19"/>
      <c r="I34" s="1"/>
    </row>
    <row r="35">
      <c r="A35" s="14"/>
      <c r="B35" s="15">
        <v>46218.0</v>
      </c>
      <c r="C35" s="19" t="s">
        <v>82</v>
      </c>
      <c r="D35" s="17">
        <v>0.0</v>
      </c>
      <c r="E35" s="17">
        <v>0.0</v>
      </c>
      <c r="F35" s="20">
        <v>-12905.36</v>
      </c>
      <c r="G35" s="17">
        <v>0.0</v>
      </c>
      <c r="H35" s="19" t="s">
        <v>83</v>
      </c>
      <c r="I35" s="1"/>
    </row>
    <row r="36">
      <c r="A36" s="14"/>
      <c r="B36" s="15">
        <v>46218.0</v>
      </c>
      <c r="C36" s="19" t="s">
        <v>51</v>
      </c>
      <c r="D36" s="17">
        <v>0.0</v>
      </c>
      <c r="E36" s="21">
        <f>2300</f>
        <v>2300</v>
      </c>
      <c r="F36" s="17">
        <v>0.0</v>
      </c>
      <c r="G36" s="17">
        <v>0.0</v>
      </c>
      <c r="H36" s="19"/>
      <c r="I36" s="1"/>
    </row>
    <row r="37">
      <c r="A37" s="14"/>
      <c r="B37" s="15">
        <v>46219.0</v>
      </c>
      <c r="C37" s="19" t="s">
        <v>51</v>
      </c>
      <c r="D37" s="17">
        <v>0.0</v>
      </c>
      <c r="E37" s="21">
        <v>1650.0</v>
      </c>
      <c r="F37" s="17">
        <v>0.0</v>
      </c>
      <c r="G37" s="17">
        <v>0.0</v>
      </c>
      <c r="H37" s="19"/>
      <c r="I37" s="1"/>
    </row>
    <row r="38">
      <c r="A38" s="14"/>
      <c r="B38" s="15">
        <v>46219.0</v>
      </c>
      <c r="C38" s="19" t="s">
        <v>85</v>
      </c>
      <c r="D38" s="17">
        <v>0.0</v>
      </c>
      <c r="E38" s="17">
        <v>0.0</v>
      </c>
      <c r="F38" s="20">
        <v>-2726.52</v>
      </c>
      <c r="G38" s="17">
        <v>0.0</v>
      </c>
      <c r="H38" s="19" t="s">
        <v>86</v>
      </c>
      <c r="I38" s="1"/>
    </row>
    <row r="39">
      <c r="A39" s="14"/>
      <c r="B39" s="15">
        <v>46220.0</v>
      </c>
      <c r="C39" s="19" t="s">
        <v>87</v>
      </c>
      <c r="D39" s="17">
        <v>0.0</v>
      </c>
      <c r="E39" s="20">
        <v>-960.0</v>
      </c>
      <c r="F39" s="17">
        <v>0.0</v>
      </c>
      <c r="G39" s="17">
        <v>0.0</v>
      </c>
      <c r="H39" s="19" t="s">
        <v>88</v>
      </c>
      <c r="I39" s="1"/>
    </row>
    <row r="40">
      <c r="A40" s="14"/>
      <c r="B40" s="15">
        <v>46220.0</v>
      </c>
      <c r="C40" s="19" t="s">
        <v>87</v>
      </c>
      <c r="D40" s="17">
        <v>0.0</v>
      </c>
      <c r="E40" s="20">
        <v>-2400.0</v>
      </c>
      <c r="F40" s="17">
        <v>0.0</v>
      </c>
      <c r="G40" s="17">
        <v>0.0</v>
      </c>
      <c r="H40" s="19" t="s">
        <v>89</v>
      </c>
      <c r="I40" s="1"/>
    </row>
    <row r="41">
      <c r="A41" s="14"/>
      <c r="B41" s="15">
        <v>46220.0</v>
      </c>
      <c r="C41" s="19" t="s">
        <v>90</v>
      </c>
      <c r="D41" s="21">
        <v>15000.0</v>
      </c>
      <c r="E41" s="17">
        <v>0.0</v>
      </c>
      <c r="F41" s="17">
        <v>0.0</v>
      </c>
      <c r="G41" s="17">
        <v>0.0</v>
      </c>
      <c r="H41" s="19"/>
      <c r="I41" s="1"/>
    </row>
    <row r="42">
      <c r="A42" s="14"/>
      <c r="B42" s="15">
        <v>46220.0</v>
      </c>
      <c r="C42" s="19" t="s">
        <v>93</v>
      </c>
      <c r="D42" s="17">
        <v>0.0</v>
      </c>
      <c r="E42" s="21">
        <v>5250.0</v>
      </c>
      <c r="F42" s="17">
        <v>0.0</v>
      </c>
      <c r="G42" s="17">
        <v>0.0</v>
      </c>
      <c r="H42" s="19"/>
      <c r="I42" s="1"/>
    </row>
    <row r="43">
      <c r="A43" s="14"/>
      <c r="B43" s="15">
        <v>46221.0</v>
      </c>
      <c r="C43" s="19" t="s">
        <v>51</v>
      </c>
      <c r="D43" s="17">
        <v>0.0</v>
      </c>
      <c r="E43" s="21">
        <f>1750+2000+2900+800</f>
        <v>7450</v>
      </c>
      <c r="F43" s="17">
        <v>0.0</v>
      </c>
      <c r="G43" s="17">
        <v>0.0</v>
      </c>
      <c r="H43" s="19"/>
      <c r="I43" s="1"/>
    </row>
    <row r="44">
      <c r="A44" s="14"/>
      <c r="B44" s="15">
        <v>46221.0</v>
      </c>
      <c r="C44" s="19" t="s">
        <v>97</v>
      </c>
      <c r="D44" s="17">
        <v>0.0</v>
      </c>
      <c r="E44" s="20">
        <v>-5000.0</v>
      </c>
      <c r="F44" s="17">
        <v>0.0</v>
      </c>
      <c r="G44" s="17">
        <v>0.0</v>
      </c>
      <c r="H44" s="19" t="s">
        <v>100</v>
      </c>
      <c r="I44" s="1"/>
    </row>
    <row r="45">
      <c r="A45" s="14"/>
      <c r="B45" s="15">
        <v>46221.0</v>
      </c>
      <c r="C45" s="19" t="s">
        <v>79</v>
      </c>
      <c r="D45" s="20">
        <v>-15000.0</v>
      </c>
      <c r="E45" s="17">
        <v>0.0</v>
      </c>
      <c r="F45" s="21">
        <v>15000.0</v>
      </c>
      <c r="G45" s="17">
        <v>0.0</v>
      </c>
      <c r="H45" s="19"/>
      <c r="I45" s="1"/>
    </row>
    <row r="46">
      <c r="A46" s="14"/>
      <c r="B46" s="15">
        <v>46221.0</v>
      </c>
      <c r="C46" s="19" t="s">
        <v>103</v>
      </c>
      <c r="D46" s="17">
        <v>0.0</v>
      </c>
      <c r="E46" s="17">
        <v>0.0</v>
      </c>
      <c r="F46" s="17">
        <v>0.0</v>
      </c>
      <c r="G46" s="21">
        <v>30000.0</v>
      </c>
      <c r="H46" s="19"/>
      <c r="I46" s="1"/>
    </row>
    <row r="47">
      <c r="A47" s="14"/>
      <c r="B47" s="15">
        <v>46221.0</v>
      </c>
      <c r="C47" s="19" t="s">
        <v>106</v>
      </c>
      <c r="D47" s="17">
        <v>0.0</v>
      </c>
      <c r="E47" s="17">
        <v>0.0</v>
      </c>
      <c r="F47" s="21">
        <v>34677.0</v>
      </c>
      <c r="G47" s="20">
        <v>-34677.0</v>
      </c>
      <c r="H47" s="19"/>
      <c r="I47" s="1"/>
    </row>
    <row r="48">
      <c r="A48" s="14"/>
      <c r="B48" s="15">
        <v>46221.0</v>
      </c>
      <c r="C48" s="19" t="s">
        <v>107</v>
      </c>
      <c r="D48" s="17">
        <v>0.0</v>
      </c>
      <c r="E48" s="17">
        <v>0.0</v>
      </c>
      <c r="F48" s="20">
        <v>-44000.0</v>
      </c>
      <c r="G48" s="17">
        <v>0.0</v>
      </c>
      <c r="H48" s="19" t="s">
        <v>108</v>
      </c>
      <c r="I48" s="1"/>
    </row>
    <row r="49">
      <c r="A49" s="14"/>
      <c r="B49" s="15">
        <v>46222.0</v>
      </c>
      <c r="C49" s="19" t="s">
        <v>51</v>
      </c>
      <c r="D49" s="17">
        <v>0.0</v>
      </c>
      <c r="E49" s="21">
        <v>4250.0</v>
      </c>
      <c r="F49" s="17">
        <v>0.0</v>
      </c>
      <c r="G49" s="17">
        <v>0.0</v>
      </c>
      <c r="H49" s="19"/>
      <c r="I49" s="1"/>
    </row>
    <row r="50">
      <c r="A50" s="14"/>
      <c r="B50" s="15">
        <v>46223.0</v>
      </c>
      <c r="C50" s="19" t="s">
        <v>109</v>
      </c>
      <c r="D50" s="17">
        <v>0.0</v>
      </c>
      <c r="E50" s="20">
        <v>-17847.0</v>
      </c>
      <c r="F50" s="17">
        <v>0.0</v>
      </c>
      <c r="G50" s="17">
        <v>0.0</v>
      </c>
      <c r="H50" s="19" t="s">
        <v>29</v>
      </c>
      <c r="I50" s="1"/>
    </row>
    <row r="51">
      <c r="A51" s="14"/>
      <c r="B51" s="15">
        <v>46223.0</v>
      </c>
      <c r="C51" s="19" t="s">
        <v>110</v>
      </c>
      <c r="D51" s="17">
        <v>0.0</v>
      </c>
      <c r="E51" s="20">
        <v>-1798.0</v>
      </c>
      <c r="F51" s="17">
        <v>0.0</v>
      </c>
      <c r="G51" s="17">
        <v>0.0</v>
      </c>
      <c r="H51" s="19" t="s">
        <v>111</v>
      </c>
      <c r="I51" s="1"/>
    </row>
    <row r="52">
      <c r="A52" s="14"/>
      <c r="B52" s="15">
        <v>46223.0</v>
      </c>
      <c r="C52" s="19" t="s">
        <v>51</v>
      </c>
      <c r="D52" s="17">
        <v>0.0</v>
      </c>
      <c r="E52" s="21">
        <f>1900+500</f>
        <v>2400</v>
      </c>
      <c r="F52" s="17">
        <v>0.0</v>
      </c>
      <c r="G52" s="17">
        <v>0.0</v>
      </c>
      <c r="H52" s="19"/>
      <c r="I52" s="1"/>
    </row>
    <row r="53">
      <c r="A53" s="14"/>
      <c r="B53" s="15">
        <v>46224.0</v>
      </c>
      <c r="C53" s="19" t="s">
        <v>112</v>
      </c>
      <c r="D53" s="17">
        <v>0.0</v>
      </c>
      <c r="E53" s="20">
        <v>-3815.76</v>
      </c>
      <c r="F53" s="17">
        <v>0.0</v>
      </c>
      <c r="G53" s="17">
        <v>0.0</v>
      </c>
      <c r="H53" s="19" t="s">
        <v>113</v>
      </c>
      <c r="I53" s="1"/>
    </row>
    <row r="54">
      <c r="A54" s="14"/>
      <c r="B54" s="15">
        <v>46224.0</v>
      </c>
      <c r="C54" s="19" t="s">
        <v>51</v>
      </c>
      <c r="D54" s="17">
        <v>0.0</v>
      </c>
      <c r="E54" s="21">
        <v>4000.0</v>
      </c>
      <c r="F54" s="17">
        <v>0.0</v>
      </c>
      <c r="G54" s="17">
        <v>0.0</v>
      </c>
      <c r="H54" s="19"/>
      <c r="I54" s="1"/>
    </row>
    <row r="55">
      <c r="A55" s="14"/>
      <c r="B55" s="15">
        <v>46225.0</v>
      </c>
      <c r="C55" s="19" t="s">
        <v>114</v>
      </c>
      <c r="D55" s="17">
        <v>0.0</v>
      </c>
      <c r="E55" s="17">
        <v>0.0</v>
      </c>
      <c r="F55" s="17">
        <v>0.0</v>
      </c>
      <c r="G55" s="21">
        <f>2500+2500+600</f>
        <v>5600</v>
      </c>
      <c r="H55" s="19"/>
      <c r="I55" s="1"/>
    </row>
    <row r="56">
      <c r="A56" s="14"/>
      <c r="B56" s="15">
        <v>46226.0</v>
      </c>
      <c r="C56" s="19" t="s">
        <v>115</v>
      </c>
      <c r="D56" s="17">
        <v>0.0</v>
      </c>
      <c r="E56" s="20">
        <v>-500.0</v>
      </c>
      <c r="F56" s="17">
        <v>0.0</v>
      </c>
      <c r="G56" s="17">
        <v>0.0</v>
      </c>
      <c r="H56" s="19" t="s">
        <v>116</v>
      </c>
      <c r="I56" s="1"/>
    </row>
  </sheetData>
  <mergeCells count="3">
    <mergeCell ref="B4:B5"/>
    <mergeCell ref="C4:C5"/>
    <mergeCell ref="H4:H5"/>
  </mergeCells>
  <drawing r:id="rId1"/>
</worksheet>
</file>